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7256" windowHeight="568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D32" i="1"/>
  <c r="J31" i="1" s="1"/>
  <c r="D31" i="1"/>
  <c r="D30" i="1"/>
  <c r="K29" i="1" s="1"/>
  <c r="D29" i="1"/>
  <c r="D28" i="1"/>
  <c r="D27" i="1"/>
  <c r="J26" i="1" s="1"/>
  <c r="D26" i="1"/>
  <c r="J25" i="1" s="1"/>
  <c r="D25" i="1"/>
  <c r="D24" i="1"/>
  <c r="D23" i="1"/>
  <c r="K22" i="1" s="1"/>
  <c r="D22" i="1"/>
  <c r="D21" i="1"/>
  <c r="K20" i="1" s="1"/>
  <c r="D20" i="1"/>
  <c r="D19" i="1"/>
  <c r="D18" i="1"/>
  <c r="C32" i="1"/>
  <c r="C31" i="1"/>
  <c r="C30" i="1"/>
  <c r="C29" i="1"/>
  <c r="C28" i="1"/>
  <c r="C27" i="1"/>
  <c r="C26" i="1"/>
  <c r="C25" i="1"/>
  <c r="K24" i="1" s="1"/>
  <c r="C24" i="1"/>
  <c r="C23" i="1"/>
  <c r="C22" i="1"/>
  <c r="C21" i="1"/>
  <c r="C20" i="1"/>
  <c r="C19" i="1"/>
  <c r="C18" i="1"/>
  <c r="J17" i="1" s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K26" i="1"/>
  <c r="K31" i="1" l="1"/>
  <c r="J30" i="1"/>
  <c r="L30" i="1" s="1"/>
  <c r="K30" i="1"/>
  <c r="J29" i="1"/>
  <c r="L26" i="1"/>
  <c r="K25" i="1"/>
  <c r="L25" i="1"/>
  <c r="K23" i="1"/>
  <c r="J22" i="1"/>
  <c r="J20" i="1"/>
  <c r="J19" i="1"/>
  <c r="L19" i="1" s="1"/>
  <c r="K18" i="1"/>
  <c r="J18" i="1"/>
  <c r="L18" i="1" s="1"/>
  <c r="L17" i="1"/>
  <c r="L31" i="1"/>
  <c r="L29" i="1"/>
  <c r="K28" i="1"/>
  <c r="J28" i="1"/>
  <c r="L28" i="1" s="1"/>
  <c r="J27" i="1"/>
  <c r="L27" i="1" s="1"/>
  <c r="K27" i="1"/>
  <c r="J24" i="1"/>
  <c r="L24" i="1" s="1"/>
  <c r="J23" i="1"/>
  <c r="L23" i="1"/>
  <c r="L22" i="1"/>
  <c r="K21" i="1"/>
  <c r="J21" i="1"/>
  <c r="L20" i="1"/>
  <c r="K19" i="1"/>
  <c r="K17" i="1"/>
  <c r="L6" i="1"/>
  <c r="L7" i="1"/>
  <c r="L8" i="1"/>
  <c r="L9" i="1"/>
  <c r="L10" i="1"/>
  <c r="L14" i="1"/>
  <c r="L15" i="1"/>
  <c r="L1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L3" i="1" s="1"/>
  <c r="I4" i="1"/>
  <c r="L4" i="1" s="1"/>
  <c r="I5" i="1"/>
  <c r="L5" i="1" s="1"/>
  <c r="I6" i="1"/>
  <c r="I7" i="1"/>
  <c r="I8" i="1"/>
  <c r="I9" i="1"/>
  <c r="I10" i="1"/>
  <c r="I11" i="1"/>
  <c r="L11" i="1" s="1"/>
  <c r="I12" i="1"/>
  <c r="L12" i="1" s="1"/>
  <c r="I13" i="1"/>
  <c r="L13" i="1" s="1"/>
  <c r="I14" i="1"/>
  <c r="I15" i="1"/>
  <c r="I16" i="1"/>
  <c r="I2" i="1"/>
  <c r="L21" i="1" l="1"/>
</calcChain>
</file>

<file path=xl/sharedStrings.xml><?xml version="1.0" encoding="utf-8"?>
<sst xmlns="http://schemas.openxmlformats.org/spreadsheetml/2006/main" count="9" uniqueCount="8">
  <si>
    <t>Sample</t>
  </si>
  <si>
    <t>470_nm</t>
  </si>
  <si>
    <t>645_nm</t>
  </si>
  <si>
    <t>663_nm</t>
  </si>
  <si>
    <t>Chlorophyll a</t>
  </si>
  <si>
    <t>Chlorophyll b</t>
  </si>
  <si>
    <t>Total carotenoids</t>
  </si>
  <si>
    <t>Total Chlorophyll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</si>
</sst>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E5" sqref="E5"/>
    </sheetView>
  </sheetViews>
  <sheetFormatPr baseColWidth="10" defaultRowHeight="14.4" x14ac:dyDescent="0.3"/>
  <cols>
    <col min="7" max="7" width="14.88671875" bestFit="1" customWidth="1"/>
    <col min="8" max="8" width="15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H1" t="s">
        <v>0</v>
      </c>
      <c r="I1" t="s">
        <v>4</v>
      </c>
      <c r="J1" t="s">
        <v>5</v>
      </c>
      <c r="K1" t="s">
        <v>7</v>
      </c>
      <c r="L1" t="s">
        <v>6</v>
      </c>
    </row>
    <row r="2" spans="1:12" x14ac:dyDescent="0.3">
      <c r="A2">
        <v>0</v>
      </c>
      <c r="B2">
        <v>2.0000000000000001E-4</v>
      </c>
      <c r="C2">
        <v>-1E-4</v>
      </c>
      <c r="D2">
        <v>-2.0000000000000001E-4</v>
      </c>
      <c r="H2">
        <v>1</v>
      </c>
      <c r="I2">
        <f>12.25*D3-2.79*C3</f>
        <v>10.385719000000002</v>
      </c>
      <c r="J2">
        <f>21.5*C3-5.1*D3</f>
        <v>2.5688499999999994</v>
      </c>
      <c r="K2">
        <f>7.15*D3+18.71*C3</f>
        <v>12.954568999999999</v>
      </c>
      <c r="L2">
        <f>(1000*B3-1.82*I2-85.02*J2)/198</f>
        <v>3.4939109314141419</v>
      </c>
    </row>
    <row r="3" spans="1:12" x14ac:dyDescent="0.3">
      <c r="A3">
        <v>1</v>
      </c>
      <c r="B3">
        <v>0.92910000000000004</v>
      </c>
      <c r="C3">
        <v>0.33889999999999998</v>
      </c>
      <c r="D3">
        <v>0.92500000000000004</v>
      </c>
      <c r="H3">
        <v>2</v>
      </c>
      <c r="I3">
        <f>12.25*D4-2.79*C4</f>
        <v>10.395484000000002</v>
      </c>
      <c r="J3">
        <f>21.5*C4-5.1*D4</f>
        <v>2.4935999999999989</v>
      </c>
      <c r="K3">
        <f>7.15*D4+18.71*C4</f>
        <v>12.889084</v>
      </c>
      <c r="L3">
        <f>(1000*B4-1.82*I3-85.02*J3)/198</f>
        <v>3.5609815511111114</v>
      </c>
    </row>
    <row r="4" spans="1:12" x14ac:dyDescent="0.3">
      <c r="A4">
        <v>2</v>
      </c>
      <c r="B4">
        <v>0.93600000000000005</v>
      </c>
      <c r="C4">
        <v>0.33539999999999998</v>
      </c>
      <c r="D4">
        <v>0.92500000000000004</v>
      </c>
      <c r="H4">
        <v>3</v>
      </c>
      <c r="I4">
        <f>12.25*D5-2.79*C5</f>
        <v>10.6187</v>
      </c>
      <c r="J4">
        <f>21.5*C5-5.1*D5</f>
        <v>2.4433800000000012</v>
      </c>
      <c r="K4">
        <f>7.15*D5+18.71*C5</f>
        <v>13.062080000000002</v>
      </c>
      <c r="L4">
        <f>(1000*B5-1.82*I4-85.02*J4)/198</f>
        <v>3.5481706989898987</v>
      </c>
    </row>
    <row r="5" spans="1:12" x14ac:dyDescent="0.3">
      <c r="A5">
        <v>3</v>
      </c>
      <c r="B5">
        <v>0.92959999999999998</v>
      </c>
      <c r="C5">
        <v>0.33750000000000002</v>
      </c>
      <c r="D5">
        <v>0.94369999999999998</v>
      </c>
      <c r="H5">
        <v>4</v>
      </c>
      <c r="I5">
        <f>12.25*D6-2.79*C6</f>
        <v>6.5275440000000007</v>
      </c>
      <c r="J5">
        <f>21.5*C6-5.1*D6</f>
        <v>1.4294199999999999</v>
      </c>
      <c r="K5">
        <f>7.15*D6+18.71*C6</f>
        <v>7.956964000000001</v>
      </c>
      <c r="L5">
        <f>(1000*B6-1.82*I5-85.02*J5)/198</f>
        <v>2.659043341010102</v>
      </c>
    </row>
    <row r="6" spans="1:12" x14ac:dyDescent="0.3">
      <c r="A6">
        <v>4</v>
      </c>
      <c r="B6">
        <v>0.65990000000000004</v>
      </c>
      <c r="C6">
        <v>0.2039</v>
      </c>
      <c r="D6">
        <v>0.57930000000000004</v>
      </c>
      <c r="H6">
        <v>5</v>
      </c>
      <c r="I6">
        <f>12.25*D7-2.79*C7</f>
        <v>7.0716669999999997</v>
      </c>
      <c r="J6">
        <f>21.5*C7-5.1*D7</f>
        <v>1.5852500000000003</v>
      </c>
      <c r="K6">
        <f>7.15*D7+18.71*C7</f>
        <v>8.656917</v>
      </c>
      <c r="L6">
        <f>(1000*B7-1.82*I6-85.02*J6)/198</f>
        <v>2.7537960154545451</v>
      </c>
    </row>
    <row r="7" spans="1:12" x14ac:dyDescent="0.3">
      <c r="A7">
        <v>5</v>
      </c>
      <c r="B7">
        <v>0.69289999999999996</v>
      </c>
      <c r="C7">
        <v>0.22270000000000001</v>
      </c>
      <c r="D7">
        <v>0.628</v>
      </c>
      <c r="H7">
        <v>6</v>
      </c>
      <c r="I7">
        <f>12.25*D8-2.79*C8</f>
        <v>6.752142000000001</v>
      </c>
      <c r="J7">
        <f>21.5*C8-5.1*D8</f>
        <v>1.4132000000000002</v>
      </c>
      <c r="K7">
        <f>7.15*D8+18.71*C8</f>
        <v>8.1653420000000008</v>
      </c>
      <c r="L7">
        <f>(1000*B8-1.82*I7-85.02*J7)/198</f>
        <v>2.6255597856565651</v>
      </c>
    </row>
    <row r="8" spans="1:12" x14ac:dyDescent="0.3">
      <c r="A8">
        <v>6</v>
      </c>
      <c r="B8">
        <v>0.65229999999999999</v>
      </c>
      <c r="C8">
        <v>0.2077</v>
      </c>
      <c r="D8">
        <v>0.59850000000000003</v>
      </c>
      <c r="H8">
        <v>7</v>
      </c>
      <c r="I8">
        <f>12.25*D9-2.79*C9</f>
        <v>6.9088770000000004</v>
      </c>
      <c r="J8">
        <f>21.5*C9-5.1*D9</f>
        <v>1.5716700000000001</v>
      </c>
      <c r="K8">
        <f>7.15*D9+18.71*C9</f>
        <v>8.4805470000000014</v>
      </c>
      <c r="L8">
        <f>(1000*B9-1.82*I8-85.02*J8)/198</f>
        <v>2.6272851538383839</v>
      </c>
    </row>
    <row r="9" spans="1:12" x14ac:dyDescent="0.3">
      <c r="A9">
        <v>7</v>
      </c>
      <c r="B9">
        <v>0.66639999999999999</v>
      </c>
      <c r="C9">
        <v>0.21870000000000001</v>
      </c>
      <c r="D9">
        <v>0.61380000000000001</v>
      </c>
      <c r="H9">
        <v>8</v>
      </c>
      <c r="I9">
        <f>12.25*D10-2.79*C10</f>
        <v>6.0410920000000008</v>
      </c>
      <c r="J9">
        <f>21.5*C10-5.1*D10</f>
        <v>1.3024599999999995</v>
      </c>
      <c r="K9">
        <f>7.15*D10+18.71*C10</f>
        <v>7.3435520000000007</v>
      </c>
      <c r="L9">
        <f>(1000*B10-1.82*I9-85.02*J9)/198</f>
        <v>2.4518690068686868</v>
      </c>
    </row>
    <row r="10" spans="1:12" x14ac:dyDescent="0.3">
      <c r="A10">
        <v>8</v>
      </c>
      <c r="B10">
        <v>0.60719999999999996</v>
      </c>
      <c r="C10">
        <v>0.18770000000000001</v>
      </c>
      <c r="D10">
        <v>0.53590000000000004</v>
      </c>
      <c r="H10">
        <v>9</v>
      </c>
      <c r="I10">
        <f>12.25*D11-2.79*C11</f>
        <v>5.3504310000000004</v>
      </c>
      <c r="J10">
        <f>21.5*C11-5.1*D11</f>
        <v>1.15069</v>
      </c>
      <c r="K10">
        <f>7.15*D11+18.71*C11</f>
        <v>6.5011210000000004</v>
      </c>
      <c r="L10">
        <f>(1000*B11-1.82*I10-85.02*J10)/198</f>
        <v>2.171366423131313</v>
      </c>
    </row>
    <row r="11" spans="1:12" x14ac:dyDescent="0.3">
      <c r="A11">
        <v>9</v>
      </c>
      <c r="B11">
        <v>0.53749999999999998</v>
      </c>
      <c r="C11">
        <v>0.1661</v>
      </c>
      <c r="D11">
        <v>0.47460000000000002</v>
      </c>
      <c r="H11">
        <v>10</v>
      </c>
      <c r="I11">
        <f>12.25*D12-2.79*C12</f>
        <v>5.8441589999999994</v>
      </c>
      <c r="J11">
        <f>21.5*C12-5.1*D12</f>
        <v>1.3376700000000006</v>
      </c>
      <c r="K11">
        <f>7.15*D12+18.71*C12</f>
        <v>7.1818290000000005</v>
      </c>
      <c r="L11">
        <f>(1000*B12-1.82*I11-85.02*J11)/198</f>
        <v>2.2183582182828281</v>
      </c>
    </row>
    <row r="12" spans="1:12" x14ac:dyDescent="0.3">
      <c r="A12">
        <v>10</v>
      </c>
      <c r="B12">
        <v>0.56359999999999999</v>
      </c>
      <c r="C12">
        <v>0.18540000000000001</v>
      </c>
      <c r="D12">
        <v>0.51929999999999998</v>
      </c>
      <c r="H12">
        <v>11</v>
      </c>
      <c r="I12">
        <f>12.25*D13-2.79*C13</f>
        <v>7.6636830000000007</v>
      </c>
      <c r="J12">
        <f>21.5*C13-5.1*D13</f>
        <v>1.8899500000000007</v>
      </c>
      <c r="K12">
        <f>7.15*D13+18.71*C13</f>
        <v>9.5536330000000014</v>
      </c>
      <c r="L12">
        <f>(1000*B13-1.82*I12-85.02*J12)/198</f>
        <v>2.6892350906060596</v>
      </c>
    </row>
    <row r="13" spans="1:12" x14ac:dyDescent="0.3">
      <c r="A13">
        <v>11</v>
      </c>
      <c r="B13">
        <v>0.70709999999999995</v>
      </c>
      <c r="C13">
        <v>0.24979999999999999</v>
      </c>
      <c r="D13">
        <v>0.6825</v>
      </c>
      <c r="H13">
        <v>12</v>
      </c>
      <c r="I13">
        <f>12.25*D14-2.79*C14</f>
        <v>6.871595000000001</v>
      </c>
      <c r="J13">
        <f>21.5*C14-5.1*D14</f>
        <v>1.50177</v>
      </c>
      <c r="K13">
        <f>7.15*D14+18.71*C14</f>
        <v>8.3733649999999997</v>
      </c>
      <c r="L13">
        <f>(1000*B14-1.82*I13-85.02*J13)/198</f>
        <v>2.5813798570707065</v>
      </c>
    </row>
    <row r="14" spans="1:12" x14ac:dyDescent="0.3">
      <c r="A14">
        <v>12</v>
      </c>
      <c r="B14">
        <v>0.65129999999999999</v>
      </c>
      <c r="C14">
        <v>0.2145</v>
      </c>
      <c r="D14">
        <v>0.60980000000000001</v>
      </c>
      <c r="H14">
        <v>13</v>
      </c>
      <c r="I14">
        <f>12.25*D15-2.79*C15</f>
        <v>6.8462709999999989</v>
      </c>
      <c r="J14">
        <f>21.5*C15-5.1*D15</f>
        <v>1.4736700000000003</v>
      </c>
      <c r="K14">
        <f>7.15*D15+18.71*C15</f>
        <v>8.319941</v>
      </c>
      <c r="L14">
        <f>(1000*B15-1.82*I14-85.02*J14)/198</f>
        <v>2.5830725423232326</v>
      </c>
    </row>
    <row r="15" spans="1:12" x14ac:dyDescent="0.3">
      <c r="A15">
        <v>13</v>
      </c>
      <c r="B15">
        <v>0.6492</v>
      </c>
      <c r="C15">
        <v>0.21260000000000001</v>
      </c>
      <c r="D15">
        <v>0.60729999999999995</v>
      </c>
      <c r="H15">
        <v>14</v>
      </c>
      <c r="I15">
        <f>12.25*D16-2.79*C16</f>
        <v>7.5452760000000003</v>
      </c>
      <c r="J15">
        <f>21.5*C16-5.1*D16</f>
        <v>1.6504400000000006</v>
      </c>
      <c r="K15">
        <f>7.15*D16+18.71*C16</f>
        <v>9.1957160000000009</v>
      </c>
      <c r="L15">
        <f>(1000*B16-1.82*I15-85.02*J15)/198</f>
        <v>2.9285211559595958</v>
      </c>
    </row>
    <row r="16" spans="1:12" x14ac:dyDescent="0.3">
      <c r="A16">
        <v>14</v>
      </c>
      <c r="B16">
        <v>0.7339</v>
      </c>
      <c r="C16">
        <v>0.2356</v>
      </c>
      <c r="D16">
        <v>0.66959999999999997</v>
      </c>
      <c r="H16">
        <v>15</v>
      </c>
      <c r="I16">
        <f>12.25*D17-2.79*C17</f>
        <v>7.7560329999999995</v>
      </c>
      <c r="J16">
        <f>21.5*C17-5.1*D17</f>
        <v>1.7498100000000001</v>
      </c>
      <c r="K16">
        <f>7.15*D17+18.71*C17</f>
        <v>9.5058429999999987</v>
      </c>
      <c r="L16">
        <f>(1000*B17-1.82*I16-85.02*J16)/198</f>
        <v>3.0217938067676768</v>
      </c>
    </row>
    <row r="17" spans="1:12" x14ac:dyDescent="0.3">
      <c r="A17">
        <v>15</v>
      </c>
      <c r="B17">
        <v>0.76119999999999999</v>
      </c>
      <c r="C17">
        <v>0.24479999999999999</v>
      </c>
      <c r="D17">
        <v>0.68889999999999996</v>
      </c>
      <c r="H17">
        <v>16</v>
      </c>
      <c r="I17">
        <f t="shared" ref="I17:I31" si="0">12.25*D18-2.79*C18</f>
        <v>6.6921170000000005</v>
      </c>
      <c r="J17">
        <f t="shared" ref="J17:J31" si="1">21.5*C18-5.1*D18</f>
        <v>1.4381900000000005</v>
      </c>
      <c r="K17">
        <f t="shared" ref="K17:K31" si="2">7.15*D18+18.71*C18</f>
        <v>8.1303070000000002</v>
      </c>
      <c r="L17">
        <f t="shared" ref="L17:L31" si="3">(1000*B18-1.82*I17-85.02*J17)/198</f>
        <v>2.6396234003030301</v>
      </c>
    </row>
    <row r="18" spans="1:12" x14ac:dyDescent="0.3">
      <c r="A18">
        <v>16</v>
      </c>
      <c r="B18">
        <f>0.6316+0.0255</f>
        <v>0.65710000000000002</v>
      </c>
      <c r="C18">
        <f>0.1861+0.0216</f>
        <v>0.2077</v>
      </c>
      <c r="D18">
        <f>0.5723+0.0213</f>
        <v>0.59360000000000002</v>
      </c>
      <c r="H18">
        <v>17</v>
      </c>
      <c r="I18">
        <f t="shared" si="0"/>
        <v>7.7825989999999994</v>
      </c>
      <c r="J18">
        <f t="shared" si="1"/>
        <v>1.5272300000000003</v>
      </c>
      <c r="K18">
        <f t="shared" si="2"/>
        <v>9.3098290000000006</v>
      </c>
      <c r="L18">
        <f t="shared" si="3"/>
        <v>2.9827806829292922</v>
      </c>
    </row>
    <row r="19" spans="1:12" x14ac:dyDescent="0.3">
      <c r="A19">
        <v>17</v>
      </c>
      <c r="B19">
        <f>0.7091+0.0255</f>
        <v>0.73459999999999992</v>
      </c>
      <c r="C19">
        <f>0.2128+0.0216</f>
        <v>0.2344</v>
      </c>
      <c r="D19">
        <f>0.6674+0.0213</f>
        <v>0.68869999999999998</v>
      </c>
      <c r="H19">
        <v>18</v>
      </c>
      <c r="I19">
        <f t="shared" si="0"/>
        <v>6.0134919999999994</v>
      </c>
      <c r="J19">
        <f t="shared" si="1"/>
        <v>1.0597200000000004</v>
      </c>
      <c r="K19">
        <f t="shared" si="2"/>
        <v>7.0732119999999998</v>
      </c>
      <c r="L19">
        <f t="shared" si="3"/>
        <v>2.401808334141414</v>
      </c>
    </row>
    <row r="20" spans="1:12" x14ac:dyDescent="0.3">
      <c r="A20">
        <v>18</v>
      </c>
      <c r="B20">
        <f>0.5511+0.0255</f>
        <v>0.5766</v>
      </c>
      <c r="C20">
        <f>0.1536+0.0216</f>
        <v>0.17519999999999999</v>
      </c>
      <c r="D20">
        <f>0.5095+0.0213</f>
        <v>0.53079999999999994</v>
      </c>
      <c r="H20">
        <v>19</v>
      </c>
      <c r="I20">
        <f t="shared" si="0"/>
        <v>6.2555889999999996</v>
      </c>
      <c r="J20">
        <f t="shared" si="1"/>
        <v>1.1765500000000007</v>
      </c>
      <c r="K20">
        <f t="shared" si="2"/>
        <v>7.4321390000000003</v>
      </c>
      <c r="L20">
        <f t="shared" si="3"/>
        <v>2.4681037728282829</v>
      </c>
    </row>
    <row r="21" spans="1:12" x14ac:dyDescent="0.3">
      <c r="A21">
        <v>19</v>
      </c>
      <c r="B21">
        <f>0.5746+0.0255</f>
        <v>0.60009999999999997</v>
      </c>
      <c r="C21">
        <f>0.1643+0.0216</f>
        <v>0.18590000000000001</v>
      </c>
      <c r="D21">
        <f>0.5317+0.0213</f>
        <v>0.55299999999999994</v>
      </c>
      <c r="H21">
        <v>20</v>
      </c>
      <c r="I21">
        <f t="shared" si="0"/>
        <v>8.6616230000000005</v>
      </c>
      <c r="J21">
        <f t="shared" si="1"/>
        <v>2.0134500000000006</v>
      </c>
      <c r="K21">
        <f t="shared" si="2"/>
        <v>10.675073000000001</v>
      </c>
      <c r="L21">
        <f t="shared" si="3"/>
        <v>3.3371329653535353</v>
      </c>
    </row>
    <row r="22" spans="1:12" x14ac:dyDescent="0.3">
      <c r="A22">
        <v>20</v>
      </c>
      <c r="B22">
        <f>0.8222+0.0255</f>
        <v>0.84770000000000001</v>
      </c>
      <c r="C22">
        <f>0.2547+0.0216</f>
        <v>0.27629999999999999</v>
      </c>
      <c r="D22">
        <f>0.7487+0.0213</f>
        <v>0.77</v>
      </c>
      <c r="H22">
        <v>21</v>
      </c>
      <c r="I22">
        <f t="shared" si="0"/>
        <v>5.9197119999999996</v>
      </c>
      <c r="J22">
        <f t="shared" si="1"/>
        <v>1.1394400000000005</v>
      </c>
      <c r="K22">
        <f t="shared" si="2"/>
        <v>7.0591520000000001</v>
      </c>
      <c r="L22">
        <f t="shared" si="3"/>
        <v>2.3633885624242423</v>
      </c>
    </row>
    <row r="23" spans="1:12" x14ac:dyDescent="0.3">
      <c r="A23">
        <v>21</v>
      </c>
      <c r="B23">
        <f>0.5501+0.0255</f>
        <v>0.5756</v>
      </c>
      <c r="C23">
        <f>0.1556+0.0216</f>
        <v>0.1772</v>
      </c>
      <c r="D23">
        <f>0.5023+0.0213</f>
        <v>0.52359999999999995</v>
      </c>
      <c r="H23">
        <v>22</v>
      </c>
      <c r="I23">
        <f t="shared" si="0"/>
        <v>7.8469660000000001</v>
      </c>
      <c r="J23">
        <f t="shared" si="1"/>
        <v>1.5045000000000002</v>
      </c>
      <c r="K23">
        <f t="shared" si="2"/>
        <v>9.3514659999999985</v>
      </c>
      <c r="L23">
        <f t="shared" si="3"/>
        <v>3.0868986458585859</v>
      </c>
    </row>
    <row r="24" spans="1:12" x14ac:dyDescent="0.3">
      <c r="A24">
        <v>22</v>
      </c>
      <c r="B24">
        <f>0.7279+0.0255</f>
        <v>0.75339999999999996</v>
      </c>
      <c r="C24">
        <f>0.213+0.0216</f>
        <v>0.2346</v>
      </c>
      <c r="D24">
        <f>0.6727+0.0213</f>
        <v>0.69399999999999995</v>
      </c>
      <c r="H24">
        <v>23</v>
      </c>
      <c r="I24">
        <f t="shared" si="0"/>
        <v>5.8989130000000003</v>
      </c>
      <c r="J24">
        <f t="shared" si="1"/>
        <v>1.0586100000000003</v>
      </c>
      <c r="K24">
        <f t="shared" si="2"/>
        <v>6.957523000000001</v>
      </c>
      <c r="L24">
        <f t="shared" si="3"/>
        <v>2.4462674552525248</v>
      </c>
    </row>
    <row r="25" spans="1:12" x14ac:dyDescent="0.3">
      <c r="A25">
        <v>23</v>
      </c>
      <c r="B25">
        <f>0.5596+0.0255</f>
        <v>0.58509999999999995</v>
      </c>
      <c r="C25">
        <f>0.1512+0.0216</f>
        <v>0.17280000000000001</v>
      </c>
      <c r="D25">
        <f>0.4996+0.0213</f>
        <v>0.52090000000000003</v>
      </c>
      <c r="H25">
        <v>24</v>
      </c>
      <c r="I25">
        <f t="shared" si="0"/>
        <v>6.5407479999999998</v>
      </c>
      <c r="J25">
        <f t="shared" si="1"/>
        <v>1.0151200000000005</v>
      </c>
      <c r="K25">
        <f t="shared" si="2"/>
        <v>7.5558680000000003</v>
      </c>
      <c r="L25">
        <f t="shared" si="3"/>
        <v>2.74692089010101</v>
      </c>
    </row>
    <row r="26" spans="1:12" x14ac:dyDescent="0.3">
      <c r="A26">
        <v>24</v>
      </c>
      <c r="B26">
        <f>0.6166+0.0255</f>
        <v>0.6421</v>
      </c>
      <c r="C26">
        <f>0.1622+0.0216</f>
        <v>0.18380000000000002</v>
      </c>
      <c r="D26">
        <f>0.5545+0.0213</f>
        <v>0.57579999999999998</v>
      </c>
      <c r="H26">
        <v>25</v>
      </c>
      <c r="I26">
        <f t="shared" si="0"/>
        <v>8.481325</v>
      </c>
      <c r="J26">
        <f t="shared" si="1"/>
        <v>1.7061500000000001</v>
      </c>
      <c r="K26">
        <f t="shared" si="2"/>
        <v>10.187474999999999</v>
      </c>
      <c r="L26">
        <f t="shared" si="3"/>
        <v>3.073773310606061</v>
      </c>
    </row>
    <row r="27" spans="1:12" x14ac:dyDescent="0.3">
      <c r="A27">
        <v>25</v>
      </c>
      <c r="B27">
        <f>0.7436+0.0255</f>
        <v>0.76910000000000001</v>
      </c>
      <c r="C27">
        <f>0.2359+0.0216</f>
        <v>0.25750000000000001</v>
      </c>
      <c r="D27">
        <f>0.7297+0.0213</f>
        <v>0.751</v>
      </c>
      <c r="H27">
        <v>26</v>
      </c>
      <c r="I27">
        <f t="shared" si="0"/>
        <v>7.1415700000000006</v>
      </c>
      <c r="J27">
        <f t="shared" si="1"/>
        <v>1.2876800000000008</v>
      </c>
      <c r="K27">
        <f t="shared" si="2"/>
        <v>8.4292500000000015</v>
      </c>
      <c r="L27">
        <f t="shared" si="3"/>
        <v>2.8102211565656563</v>
      </c>
    </row>
    <row r="28" spans="1:12" x14ac:dyDescent="0.3">
      <c r="A28">
        <v>26</v>
      </c>
      <c r="B28">
        <f>0.6534+0.0255</f>
        <v>0.67889999999999995</v>
      </c>
      <c r="C28">
        <f>0.1879+0.0216</f>
        <v>0.20950000000000002</v>
      </c>
      <c r="D28">
        <f>0.6094+0.0213</f>
        <v>0.63070000000000004</v>
      </c>
      <c r="H28">
        <v>27</v>
      </c>
      <c r="I28">
        <f t="shared" si="0"/>
        <v>7.877866</v>
      </c>
      <c r="J28">
        <f t="shared" si="1"/>
        <v>1.6950200000000009</v>
      </c>
      <c r="K28">
        <f t="shared" si="2"/>
        <v>9.5728860000000005</v>
      </c>
      <c r="L28">
        <f t="shared" si="3"/>
        <v>2.6876347650505048</v>
      </c>
    </row>
    <row r="29" spans="1:12" x14ac:dyDescent="0.3">
      <c r="A29">
        <v>27</v>
      </c>
      <c r="B29">
        <f>0.6651+0.0255</f>
        <v>0.69059999999999999</v>
      </c>
      <c r="C29">
        <f>0.223+0.0216</f>
        <v>0.24460000000000001</v>
      </c>
      <c r="D29">
        <f>0.6775+0.0213</f>
        <v>0.69879999999999998</v>
      </c>
      <c r="H29">
        <v>28</v>
      </c>
      <c r="I29">
        <f t="shared" si="0"/>
        <v>6.0543749999999994</v>
      </c>
      <c r="J29">
        <f t="shared" si="1"/>
        <v>1.1911700000000005</v>
      </c>
      <c r="K29">
        <f t="shared" si="2"/>
        <v>7.2455449999999999</v>
      </c>
      <c r="L29">
        <f t="shared" si="3"/>
        <v>2.3828674954545446</v>
      </c>
    </row>
    <row r="30" spans="1:12" x14ac:dyDescent="0.3">
      <c r="A30">
        <v>28</v>
      </c>
      <c r="B30">
        <f>0.5586+0.0255</f>
        <v>0.58409999999999995</v>
      </c>
      <c r="C30">
        <f>0.1609+0.0216</f>
        <v>0.1825</v>
      </c>
      <c r="D30">
        <f>0.5145+0.0213</f>
        <v>0.53579999999999994</v>
      </c>
      <c r="H30">
        <v>29</v>
      </c>
      <c r="I30">
        <f t="shared" si="0"/>
        <v>9.0974530000000016</v>
      </c>
      <c r="J30">
        <f t="shared" si="1"/>
        <v>1.9947100000000004</v>
      </c>
      <c r="K30">
        <f t="shared" si="2"/>
        <v>11.092162999999999</v>
      </c>
      <c r="L30">
        <f t="shared" si="3"/>
        <v>3.0568302592929291</v>
      </c>
    </row>
    <row r="31" spans="1:12" x14ac:dyDescent="0.3">
      <c r="A31">
        <v>29</v>
      </c>
      <c r="B31">
        <f>0.7659+0.0255</f>
        <v>0.79139999999999999</v>
      </c>
      <c r="C31">
        <f>0.2627+0.0216</f>
        <v>0.2843</v>
      </c>
      <c r="D31">
        <f>0.7861+0.0213</f>
        <v>0.80740000000000001</v>
      </c>
      <c r="H31">
        <v>30</v>
      </c>
      <c r="I31">
        <f t="shared" si="0"/>
        <v>7.1852779999999994</v>
      </c>
      <c r="J31">
        <f t="shared" si="1"/>
        <v>1.4688000000000003</v>
      </c>
      <c r="K31">
        <f t="shared" si="2"/>
        <v>8.6540780000000002</v>
      </c>
      <c r="L31">
        <f t="shared" si="3"/>
        <v>2.8083101921212119</v>
      </c>
    </row>
    <row r="32" spans="1:12" x14ac:dyDescent="0.3">
      <c r="A32">
        <v>30</v>
      </c>
      <c r="B32">
        <f>0.6685+0.0255</f>
        <v>0.69399999999999995</v>
      </c>
      <c r="C32">
        <f>0.1977+0.0216</f>
        <v>0.21929999999999999</v>
      </c>
      <c r="D32">
        <f>0.6152+0.0213</f>
        <v>0.63649999999999995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2026-06-02T21:17:25Z</dcterms:created>
  <dcterms:modified xsi:type="dcterms:W3CDTF">2026-06-03T20:29:18Z</dcterms:modified>
</cp:coreProperties>
</file>